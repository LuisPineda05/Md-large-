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tbucket\trn_cap_fun\docs\01-TRON\01-Documentacion\01-Modulos\03-Emision\02-Operacion\01-Comun\101-ALTERAR-plan-pago\00-Descarga\"/>
    </mc:Choice>
  </mc:AlternateContent>
  <xr:revisionPtr revIDLastSave="0" documentId="13_ncr:1_{C0C40453-3D60-4341-8DFC-3E3DD9B12C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2000030" sheetId="1" r:id="rId1"/>
    <sheet name="A2000033" sheetId="8" r:id="rId2"/>
    <sheet name="A2000032" sheetId="2" r:id="rId3"/>
    <sheet name="A2000161" sheetId="3" r:id="rId4"/>
    <sheet name="A2990700" sheetId="4" r:id="rId5"/>
    <sheet name="A2990701" sheetId="5" r:id="rId6"/>
    <sheet name="A2990702" sheetId="6" r:id="rId7"/>
    <sheet name="A5020301" sheetId="7" r:id="rId8"/>
  </sheets>
  <definedNames>
    <definedName name="_xlnm._FilterDatabase" localSheetId="0" hidden="1">A2000030!$B$1:$B$3</definedName>
    <definedName name="_xlnm._FilterDatabase" localSheetId="2" hidden="1">A2000032!$B$1:$B$2</definedName>
    <definedName name="_xlnm._FilterDatabase" localSheetId="1" hidden="1">A2000033!$B$1:$B$3</definedName>
    <definedName name="_xlnm._FilterDatabase" localSheetId="3" hidden="1">A2000161!$B$1:$B$11</definedName>
    <definedName name="_xlnm._FilterDatabase" localSheetId="4" hidden="1">A2990700!$B$1:$B$6</definedName>
    <definedName name="_xlnm._FilterDatabase" localSheetId="5" hidden="1">A2990701!$B$1:$B$6</definedName>
    <definedName name="_xlnm._FilterDatabase" localSheetId="6" hidden="1">A2990702!$B$1:$B$1</definedName>
    <definedName name="_xlnm._FilterDatabase" localSheetId="7" hidden="1">A5020301!$B$1:$B$6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<sst xmlns="http://schemas.openxmlformats.org/spreadsheetml/2006/main" count="205" uniqueCount="46">
  <si>
    <t xml:space="preserve">   </t>
  </si>
  <si>
    <t>NUM_POLIZA</t>
  </si>
  <si>
    <t>NUM_SPTO</t>
  </si>
  <si>
    <t>FEC_EFEC_POLIZA</t>
  </si>
  <si>
    <t>FEC_VCTO_POLIZA</t>
  </si>
  <si>
    <t>FEC_EFEC_SPTO</t>
  </si>
  <si>
    <t>FEC_VCTO_SPTO</t>
  </si>
  <si>
    <t>TIP_SPTO</t>
  </si>
  <si>
    <t>FEC_EMISION_SPTO</t>
  </si>
  <si>
    <t>COD_FRACC_PAGO</t>
  </si>
  <si>
    <t>ANTERIOR</t>
  </si>
  <si>
    <t>3002410100002</t>
  </si>
  <si>
    <t>XX</t>
  </si>
  <si>
    <t>SM</t>
  </si>
  <si>
    <t>POSTERIOR</t>
  </si>
  <si>
    <t>COD_CIA</t>
  </si>
  <si>
    <t>NUM_APLI</t>
  </si>
  <si>
    <t>NUM_SPTO_APLI</t>
  </si>
  <si>
    <t>NUM_MVTO_CV</t>
  </si>
  <si>
    <t>COD_FRACC_PAGO_ANT</t>
  </si>
  <si>
    <t>MCA_VIGENTE</t>
  </si>
  <si>
    <t>FEC_ACTU</t>
  </si>
  <si>
    <t>S</t>
  </si>
  <si>
    <t>NUM_CUOTA</t>
  </si>
  <si>
    <t>COD_ECO</t>
  </si>
  <si>
    <t>NOM_ECO</t>
  </si>
  <si>
    <t>IMP_ECO</t>
  </si>
  <si>
    <t>MCA_CV</t>
  </si>
  <si>
    <t>PRIMA</t>
  </si>
  <si>
    <t>N</t>
  </si>
  <si>
    <t>TOTAL</t>
  </si>
  <si>
    <t>FEC_EFEC_RECIBO</t>
  </si>
  <si>
    <t>FEC_VCTO_RECIBO</t>
  </si>
  <si>
    <t>NUM_RECIBO</t>
  </si>
  <si>
    <t>TIP_SITUACION</t>
  </si>
  <si>
    <t>IMP_RECIBO</t>
  </si>
  <si>
    <t>EP</t>
  </si>
  <si>
    <t>FOR_ACTUACION</t>
  </si>
  <si>
    <t>COD_AGT</t>
  </si>
  <si>
    <t>IMP_COMIS_NETA</t>
  </si>
  <si>
    <t>IMP_COMIS_RECA</t>
  </si>
  <si>
    <t>IMP_COMIS_INT</t>
  </si>
  <si>
    <t>P</t>
  </si>
  <si>
    <t>COD_TIP_COMISION</t>
  </si>
  <si>
    <t>SITUACIÓN</t>
  </si>
  <si>
    <t>COD_TIP_SPTO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</si>
</sst>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Courier New"/>
      <family val="2"/>
    </font>
    <font>
      <b/>
      <sz val="9"/>
      <color theme="1"/>
      <name val="Courier New"/>
      <family val="3"/>
    </font>
    <font>
      <b/>
      <i/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1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24"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ill>
        <patternFill>
          <bgColor theme="8" tint="0.7999816888943144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2" x14ac:dyDescent="0.2"/>
  <cols>
    <col min="1" max="1" width="4" style="1" bestFit="1" customWidth="1"/>
    <col min="2" max="2" width="14.5703125" style="1" bestFit="1" customWidth="1"/>
    <col min="3" max="3" width="14" style="12" bestFit="1" customWidth="1"/>
    <col min="4" max="4" width="9" style="1" bestFit="1" customWidth="1"/>
    <col min="5" max="6" width="16.140625" style="2" bestFit="1" customWidth="1"/>
    <col min="7" max="8" width="14" style="2" bestFit="1" customWidth="1"/>
    <col min="9" max="9" width="9" style="1" bestFit="1" customWidth="1"/>
    <col min="10" max="10" width="17.140625" style="2" bestFit="1" customWidth="1"/>
    <col min="11" max="11" width="15" style="1" bestFit="1" customWidth="1"/>
    <col min="12" max="16384" width="9.140625" style="1"/>
  </cols>
  <sheetData>
    <row r="1" spans="1:11" s="4" customFormat="1" ht="12.75" x14ac:dyDescent="0.2">
      <c r="A1" s="4" t="s">
        <v>0</v>
      </c>
      <c r="B1" s="4" t="s">
        <v>44</v>
      </c>
      <c r="C1" s="11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4" t="s">
        <v>9</v>
      </c>
    </row>
    <row r="2" spans="1:11" x14ac:dyDescent="0.2">
      <c r="A2" s="1">
        <v>1</v>
      </c>
      <c r="B2" s="1" t="s">
        <v>10</v>
      </c>
      <c r="C2" s="12">
        <v>3002410100002</v>
      </c>
      <c r="D2" s="1">
        <v>0</v>
      </c>
      <c r="E2" s="2">
        <v>45299</v>
      </c>
      <c r="F2" s="2">
        <v>45665</v>
      </c>
      <c r="G2" s="2">
        <v>45299</v>
      </c>
      <c r="H2" s="2">
        <v>45665</v>
      </c>
      <c r="I2" s="1" t="s">
        <v>12</v>
      </c>
      <c r="J2" s="2">
        <v>45299</v>
      </c>
      <c r="K2" s="1">
        <v>10002</v>
      </c>
    </row>
    <row r="3" spans="1:11" ht="12.75" x14ac:dyDescent="0.2">
      <c r="A3" s="1">
        <v>2</v>
      </c>
      <c r="B3" s="1" t="s">
        <v>14</v>
      </c>
      <c r="C3" s="12" t="s">
        <v>11</v>
      </c>
      <c r="D3" s="1">
        <v>1</v>
      </c>
      <c r="E3" s="2">
        <v>45299</v>
      </c>
      <c r="F3" s="2">
        <v>45665</v>
      </c>
      <c r="G3" s="2">
        <v>45299</v>
      </c>
      <c r="H3" s="2">
        <v>45665</v>
      </c>
      <c r="I3" s="7" t="s">
        <v>13</v>
      </c>
      <c r="J3" s="2">
        <v>45299</v>
      </c>
      <c r="K3" s="7">
        <v>10001</v>
      </c>
    </row>
  </sheetData>
  <autoFilter ref="B1:B3" xr:uid="{00000000-0001-0000-0000-000000000000}"/>
  <conditionalFormatting sqref="B1:BZ1048576">
    <cfRule type="expression" dxfId="23" priority="1">
      <formula>IF(AND($B1&lt;&gt;"ANTERIOR",$B1&lt;&gt;"POSTERIOR",B1&lt;&gt;""),TRUE,FALSE)</formula>
    </cfRule>
    <cfRule type="expression" dxfId="22" priority="2">
      <formula>IF(AND($B1="ANTERIOR",B1&lt;&gt;""),TRUE,FALSE)</formula>
    </cfRule>
    <cfRule type="expression" dxfId="21" priority="3">
      <formula>IF(AND($B1="POSTERIOR",B1&lt;&gt;""),TRUE,FALSE)</formula>
    </cfRule>
  </conditionalFormatting>
  <pageMargins left="0.7" right="0.7" top="0.75" bottom="0.75" header="0.3" footer="0.3"/>
  <pageSetup paperSize="9" orientation="portrait" r:id="rId1"/>
  <ignoredErrors>
    <ignoredError sqref="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E0F7-1A21-4A6C-A689-0C2220EFE4A5}">
  <dimension ref="A1:H2"/>
  <sheetViews>
    <sheetView workbookViewId="0"/>
  </sheetViews>
  <sheetFormatPr baseColWidth="10" defaultColWidth="9.140625" defaultRowHeight="12" x14ac:dyDescent="0.2"/>
  <cols>
    <col min="1" max="1" width="4" style="1" bestFit="1" customWidth="1"/>
    <col min="2" max="2" width="14.5703125" style="1" bestFit="1" customWidth="1"/>
    <col min="3" max="3" width="8" style="1" bestFit="1" customWidth="1"/>
    <col min="4" max="4" width="14" style="10" bestFit="1" customWidth="1"/>
    <col min="5" max="6" width="9" style="10" bestFit="1" customWidth="1"/>
    <col min="7" max="7" width="14" style="10" bestFit="1" customWidth="1"/>
    <col min="8" max="8" width="13" style="10" bestFit="1" customWidth="1"/>
    <col min="9" max="16384" width="9.140625" style="1"/>
  </cols>
  <sheetData>
    <row r="1" spans="1:8" s="4" customFormat="1" ht="12.75" x14ac:dyDescent="0.2">
      <c r="A1" s="4" t="s">
        <v>0</v>
      </c>
      <c r="B1" s="4" t="s">
        <v>44</v>
      </c>
      <c r="C1" s="4" t="s">
        <v>15</v>
      </c>
      <c r="D1" s="9" t="s">
        <v>1</v>
      </c>
      <c r="E1" s="9" t="s">
        <v>2</v>
      </c>
      <c r="F1" s="9" t="s">
        <v>16</v>
      </c>
      <c r="G1" s="9" t="s">
        <v>17</v>
      </c>
      <c r="H1" s="9" t="s">
        <v>45</v>
      </c>
    </row>
    <row r="2" spans="1:8" x14ac:dyDescent="0.2">
      <c r="A2" s="1">
        <v>1</v>
      </c>
      <c r="B2" s="1" t="s">
        <v>14</v>
      </c>
      <c r="C2" s="1">
        <v>6</v>
      </c>
      <c r="D2" s="10">
        <v>3002410100002</v>
      </c>
      <c r="E2" s="10">
        <v>1</v>
      </c>
      <c r="F2" s="10">
        <v>0</v>
      </c>
      <c r="G2" s="10">
        <v>0</v>
      </c>
      <c r="H2" s="10">
        <v>1</v>
      </c>
    </row>
  </sheetData>
  <autoFilter ref="B1:B3" xr:uid="{7E5BE0F7-1A21-4A6C-A689-0C2220EFE4A5}"/>
  <conditionalFormatting sqref="B1:BV1048576">
    <cfRule type="expression" dxfId="20" priority="1">
      <formula>IF(AND($B1&lt;&gt;"ANTERIOR",$B1&lt;&gt;"POSTERIOR",B1&lt;&gt;""),TRUE,FALSE)</formula>
    </cfRule>
    <cfRule type="expression" dxfId="19" priority="2">
      <formula>IF(AND($B1="ANTERIOR",B1&lt;&gt;""),TRUE,FALSE)</formula>
    </cfRule>
    <cfRule type="expression" dxfId="18" priority="3">
      <formula>IF(AND($B1="POSTERIOR",B1&lt;&gt;""),TRUE,FALSE)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0962-E633-4CFF-A9E4-759084F928D6}">
  <dimension ref="A1:M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2" x14ac:dyDescent="0.2"/>
  <cols>
    <col min="1" max="1" width="4" style="6" bestFit="1" customWidth="1"/>
    <col min="2" max="2" width="14.5703125" style="6" bestFit="1" customWidth="1"/>
    <col min="3" max="3" width="8" style="6" bestFit="1" customWidth="1"/>
    <col min="4" max="4" width="14" style="6" bestFit="1" customWidth="1"/>
    <col min="5" max="6" width="9" style="6" bestFit="1" customWidth="1"/>
    <col min="7" max="7" width="14" style="6" bestFit="1" customWidth="1"/>
    <col min="8" max="8" width="12" style="6" bestFit="1" customWidth="1"/>
    <col min="9" max="9" width="15" style="6" bestFit="1" customWidth="1"/>
    <col min="10" max="10" width="19.140625" style="6" bestFit="1" customWidth="1"/>
    <col min="11" max="11" width="12" style="6" bestFit="1" customWidth="1"/>
    <col min="12" max="12" width="17.140625" style="2" bestFit="1" customWidth="1"/>
    <col min="13" max="13" width="12" style="2" bestFit="1" customWidth="1"/>
    <col min="14" max="16384" width="9.140625" style="6"/>
  </cols>
  <sheetData>
    <row r="1" spans="1:13" s="5" customFormat="1" ht="12.75" x14ac:dyDescent="0.2">
      <c r="A1" s="5" t="s">
        <v>0</v>
      </c>
      <c r="B1" s="5" t="s">
        <v>44</v>
      </c>
      <c r="C1" s="5" t="s">
        <v>15</v>
      </c>
      <c r="D1" s="5" t="s">
        <v>1</v>
      </c>
      <c r="E1" s="5" t="s">
        <v>2</v>
      </c>
      <c r="F1" s="5" t="s">
        <v>16</v>
      </c>
      <c r="G1" s="5" t="s">
        <v>17</v>
      </c>
      <c r="H1" s="5" t="s">
        <v>18</v>
      </c>
      <c r="I1" s="5" t="s">
        <v>9</v>
      </c>
      <c r="J1" s="5" t="s">
        <v>19</v>
      </c>
      <c r="K1" s="5" t="s">
        <v>20</v>
      </c>
      <c r="L1" s="3" t="s">
        <v>8</v>
      </c>
      <c r="M1" s="3" t="s">
        <v>21</v>
      </c>
    </row>
    <row r="2" spans="1:13" ht="12.75" x14ac:dyDescent="0.2">
      <c r="A2" s="6">
        <v>1</v>
      </c>
      <c r="B2" s="6" t="s">
        <v>14</v>
      </c>
      <c r="C2" s="6">
        <v>6</v>
      </c>
      <c r="D2" s="6" t="s">
        <v>11</v>
      </c>
      <c r="E2" s="6">
        <v>1</v>
      </c>
      <c r="F2" s="6">
        <v>0</v>
      </c>
      <c r="G2" s="6">
        <v>0</v>
      </c>
      <c r="H2" s="8">
        <v>1</v>
      </c>
      <c r="I2" s="8">
        <v>10001</v>
      </c>
      <c r="J2" s="8">
        <v>10002</v>
      </c>
      <c r="K2" s="8" t="s">
        <v>22</v>
      </c>
      <c r="L2" s="2">
        <v>45299</v>
      </c>
      <c r="M2" s="2">
        <v>45302.488043981481</v>
      </c>
    </row>
  </sheetData>
  <autoFilter ref="B1:B2" xr:uid="{7AF00962-E633-4CFF-A9E4-759084F928D6}"/>
  <conditionalFormatting sqref="B1:BY1048576">
    <cfRule type="expression" dxfId="17" priority="1">
      <formula>IF(AND($B1&lt;&gt;"ANTERIOR",$B1&lt;&gt;"POSTERIOR",B1&lt;&gt;""),TRUE,FALSE)</formula>
    </cfRule>
    <cfRule type="expression" dxfId="16" priority="2">
      <formula>IF(AND($B1="ANTERIOR",B1&lt;&gt;""),TRUE,FALSE)</formula>
    </cfRule>
    <cfRule type="expression" dxfId="15" priority="3">
      <formula>IF(AND($B1="POSTERIOR",B1&lt;&gt;""),TRUE,FALSE)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BCEA-10BB-4E7B-B5BD-7C2E6805BA34}">
  <dimension ref="A1:L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2" x14ac:dyDescent="0.2"/>
  <cols>
    <col min="1" max="1" width="4" style="6" bestFit="1" customWidth="1"/>
    <col min="2" max="2" width="14.5703125" style="6" bestFit="1" customWidth="1"/>
    <col min="3" max="3" width="8" style="6" bestFit="1" customWidth="1"/>
    <col min="4" max="4" width="14" style="6" bestFit="1" customWidth="1"/>
    <col min="5" max="6" width="9" style="6" bestFit="1" customWidth="1"/>
    <col min="7" max="7" width="14" style="6" bestFit="1" customWidth="1"/>
    <col min="8" max="8" width="10" style="6" bestFit="1" customWidth="1"/>
    <col min="9" max="11" width="8" style="6" bestFit="1" customWidth="1"/>
    <col min="12" max="12" width="7" style="6" bestFit="1" customWidth="1"/>
    <col min="13" max="13" width="12.140625" style="6" bestFit="1" customWidth="1"/>
    <col min="14" max="14" width="19.140625" style="6" bestFit="1" customWidth="1"/>
    <col min="15" max="16384" width="9.140625" style="6"/>
  </cols>
  <sheetData>
    <row r="1" spans="1:12" s="5" customFormat="1" ht="12.75" x14ac:dyDescent="0.2">
      <c r="A1" s="5" t="s">
        <v>0</v>
      </c>
      <c r="B1" s="5" t="s">
        <v>44</v>
      </c>
      <c r="C1" s="5" t="s">
        <v>15</v>
      </c>
      <c r="D1" s="5" t="s">
        <v>1</v>
      </c>
      <c r="E1" s="5" t="s">
        <v>2</v>
      </c>
      <c r="F1" s="5" t="s">
        <v>16</v>
      </c>
      <c r="G1" s="5" t="s">
        <v>17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</row>
    <row r="2" spans="1:12" x14ac:dyDescent="0.2">
      <c r="A2" s="6">
        <v>1</v>
      </c>
      <c r="B2" s="6" t="s">
        <v>10</v>
      </c>
      <c r="C2" s="6">
        <v>6</v>
      </c>
      <c r="D2" s="6" t="s">
        <v>11</v>
      </c>
      <c r="E2" s="6">
        <v>0</v>
      </c>
      <c r="F2" s="6">
        <v>0</v>
      </c>
      <c r="G2" s="6">
        <v>0</v>
      </c>
      <c r="H2" s="6">
        <v>1</v>
      </c>
      <c r="I2" s="6">
        <v>1</v>
      </c>
      <c r="J2" s="6" t="s">
        <v>28</v>
      </c>
      <c r="K2" s="6">
        <v>250</v>
      </c>
      <c r="L2" s="6" t="s">
        <v>29</v>
      </c>
    </row>
    <row r="3" spans="1:12" x14ac:dyDescent="0.2">
      <c r="A3" s="6">
        <v>3</v>
      </c>
      <c r="B3" s="6" t="s">
        <v>10</v>
      </c>
      <c r="C3" s="6">
        <v>6</v>
      </c>
      <c r="D3" s="6" t="s">
        <v>11</v>
      </c>
      <c r="E3" s="6">
        <v>0</v>
      </c>
      <c r="F3" s="6">
        <v>0</v>
      </c>
      <c r="G3" s="6">
        <v>0</v>
      </c>
      <c r="H3" s="6">
        <v>1</v>
      </c>
      <c r="I3" s="6">
        <v>999</v>
      </c>
      <c r="J3" s="6" t="s">
        <v>30</v>
      </c>
      <c r="K3" s="6">
        <v>250</v>
      </c>
      <c r="L3" s="6" t="s">
        <v>29</v>
      </c>
    </row>
    <row r="4" spans="1:12" ht="12.75" x14ac:dyDescent="0.2">
      <c r="A4" s="6">
        <v>2</v>
      </c>
      <c r="B4" s="6" t="s">
        <v>14</v>
      </c>
      <c r="C4" s="6">
        <v>6</v>
      </c>
      <c r="D4" s="6" t="s">
        <v>11</v>
      </c>
      <c r="E4" s="6">
        <v>0</v>
      </c>
      <c r="F4" s="6">
        <v>0</v>
      </c>
      <c r="G4" s="6">
        <v>0</v>
      </c>
      <c r="H4" s="6">
        <v>1</v>
      </c>
      <c r="I4" s="6">
        <v>1</v>
      </c>
      <c r="J4" s="6" t="s">
        <v>28</v>
      </c>
      <c r="K4" s="8">
        <v>-250</v>
      </c>
      <c r="L4" s="8" t="s">
        <v>22</v>
      </c>
    </row>
    <row r="5" spans="1:12" ht="12.75" x14ac:dyDescent="0.2">
      <c r="A5" s="6">
        <v>4</v>
      </c>
      <c r="B5" s="6" t="s">
        <v>14</v>
      </c>
      <c r="C5" s="6">
        <v>6</v>
      </c>
      <c r="D5" s="6" t="s">
        <v>11</v>
      </c>
      <c r="E5" s="6">
        <v>0</v>
      </c>
      <c r="F5" s="6">
        <v>0</v>
      </c>
      <c r="G5" s="6">
        <v>0</v>
      </c>
      <c r="H5" s="6">
        <v>1</v>
      </c>
      <c r="I5" s="6">
        <v>999</v>
      </c>
      <c r="J5" s="6" t="s">
        <v>30</v>
      </c>
      <c r="K5" s="8">
        <v>-250</v>
      </c>
      <c r="L5" s="8" t="s">
        <v>22</v>
      </c>
    </row>
    <row r="6" spans="1:12" x14ac:dyDescent="0.2">
      <c r="A6" s="6">
        <v>5</v>
      </c>
      <c r="B6" s="6" t="s">
        <v>10</v>
      </c>
      <c r="C6" s="6">
        <v>6</v>
      </c>
      <c r="D6" s="6" t="s">
        <v>11</v>
      </c>
      <c r="E6" s="6">
        <v>0</v>
      </c>
      <c r="F6" s="6">
        <v>0</v>
      </c>
      <c r="G6" s="6">
        <v>0</v>
      </c>
      <c r="H6" s="6">
        <v>2</v>
      </c>
      <c r="I6" s="6">
        <v>1</v>
      </c>
      <c r="J6" s="6" t="s">
        <v>28</v>
      </c>
      <c r="K6" s="6">
        <v>250</v>
      </c>
      <c r="L6" s="6" t="s">
        <v>29</v>
      </c>
    </row>
    <row r="7" spans="1:12" x14ac:dyDescent="0.2">
      <c r="A7" s="6">
        <v>7</v>
      </c>
      <c r="B7" s="6" t="s">
        <v>10</v>
      </c>
      <c r="C7" s="6">
        <v>6</v>
      </c>
      <c r="D7" s="6" t="s">
        <v>11</v>
      </c>
      <c r="E7" s="6">
        <v>0</v>
      </c>
      <c r="F7" s="6">
        <v>0</v>
      </c>
      <c r="G7" s="6">
        <v>0</v>
      </c>
      <c r="H7" s="6">
        <v>2</v>
      </c>
      <c r="I7" s="6">
        <v>999</v>
      </c>
      <c r="J7" s="6" t="s">
        <v>30</v>
      </c>
      <c r="K7" s="6">
        <v>250</v>
      </c>
      <c r="L7" s="6" t="s">
        <v>29</v>
      </c>
    </row>
    <row r="8" spans="1:12" ht="12.75" x14ac:dyDescent="0.2">
      <c r="A8" s="6">
        <v>6</v>
      </c>
      <c r="B8" s="6" t="s">
        <v>14</v>
      </c>
      <c r="C8" s="6">
        <v>6</v>
      </c>
      <c r="D8" s="6" t="s">
        <v>11</v>
      </c>
      <c r="E8" s="6">
        <v>0</v>
      </c>
      <c r="F8" s="6">
        <v>0</v>
      </c>
      <c r="G8" s="6">
        <v>0</v>
      </c>
      <c r="H8" s="6">
        <v>2</v>
      </c>
      <c r="I8" s="6">
        <v>1</v>
      </c>
      <c r="J8" s="6" t="s">
        <v>28</v>
      </c>
      <c r="K8" s="8">
        <v>-250</v>
      </c>
      <c r="L8" s="8" t="s">
        <v>22</v>
      </c>
    </row>
    <row r="9" spans="1:12" ht="12.75" x14ac:dyDescent="0.2">
      <c r="A9" s="6">
        <v>8</v>
      </c>
      <c r="B9" s="6" t="s">
        <v>14</v>
      </c>
      <c r="C9" s="6">
        <v>6</v>
      </c>
      <c r="D9" s="6" t="s">
        <v>11</v>
      </c>
      <c r="E9" s="6">
        <v>0</v>
      </c>
      <c r="F9" s="6">
        <v>0</v>
      </c>
      <c r="G9" s="6">
        <v>0</v>
      </c>
      <c r="H9" s="6">
        <v>2</v>
      </c>
      <c r="I9" s="6">
        <v>999</v>
      </c>
      <c r="J9" s="6" t="s">
        <v>30</v>
      </c>
      <c r="K9" s="8">
        <v>-250</v>
      </c>
      <c r="L9" s="8" t="s">
        <v>22</v>
      </c>
    </row>
    <row r="10" spans="1:12" ht="12.75" x14ac:dyDescent="0.2">
      <c r="A10" s="6">
        <v>9</v>
      </c>
      <c r="B10" s="6" t="s">
        <v>14</v>
      </c>
      <c r="C10" s="6">
        <v>6</v>
      </c>
      <c r="D10" s="6" t="s">
        <v>11</v>
      </c>
      <c r="E10" s="6">
        <v>0</v>
      </c>
      <c r="F10" s="6">
        <v>0</v>
      </c>
      <c r="G10" s="6">
        <v>0</v>
      </c>
      <c r="H10" s="6">
        <v>3</v>
      </c>
      <c r="I10" s="6">
        <v>1</v>
      </c>
      <c r="J10" s="6" t="s">
        <v>28</v>
      </c>
      <c r="K10" s="8">
        <v>500</v>
      </c>
      <c r="L10" s="8" t="s">
        <v>29</v>
      </c>
    </row>
    <row r="11" spans="1:12" ht="12.75" x14ac:dyDescent="0.2">
      <c r="A11" s="6">
        <v>10</v>
      </c>
      <c r="B11" s="6" t="s">
        <v>14</v>
      </c>
      <c r="C11" s="6">
        <v>6</v>
      </c>
      <c r="D11" s="6" t="s">
        <v>11</v>
      </c>
      <c r="E11" s="6">
        <v>0</v>
      </c>
      <c r="F11" s="6">
        <v>0</v>
      </c>
      <c r="G11" s="6">
        <v>0</v>
      </c>
      <c r="H11" s="6">
        <v>3</v>
      </c>
      <c r="I11" s="6">
        <v>999</v>
      </c>
      <c r="J11" s="6" t="s">
        <v>30</v>
      </c>
      <c r="K11" s="8">
        <v>500</v>
      </c>
      <c r="L11" s="8" t="s">
        <v>29</v>
      </c>
    </row>
  </sheetData>
  <autoFilter ref="B1:B11" xr:uid="{F1ACBCEA-10BB-4E7B-B5BD-7C2E6805BA34}"/>
  <sortState xmlns:xlrd2="http://schemas.microsoft.com/office/spreadsheetml/2017/richdata2" ref="A2:N12">
    <sortCondition ref="H2:H12"/>
    <sortCondition ref="L2:L12"/>
    <sortCondition ref="I2:I12"/>
    <sortCondition ref="B2:B12"/>
  </sortState>
  <conditionalFormatting sqref="B1:BZ1048576">
    <cfRule type="expression" dxfId="14" priority="1">
      <formula>IF(AND($B1&lt;&gt;"ANTERIOR",$B1&lt;&gt;"POSTERIOR",B1&lt;&gt;""),TRUE,FALSE)</formula>
    </cfRule>
    <cfRule type="expression" dxfId="13" priority="2">
      <formula>IF(AND($B1="ANTERIOR",B1&lt;&gt;""),TRUE,FALSE)</formula>
    </cfRule>
    <cfRule type="expression" dxfId="12" priority="3">
      <formula>IF(AND($B1="POSTERIOR",B1&lt;&gt;""),TRUE,FALSE)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EEB9-198B-4ADF-B9BF-D4A8F49B3F58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2" x14ac:dyDescent="0.2"/>
  <cols>
    <col min="1" max="1" width="4" style="6" bestFit="1" customWidth="1"/>
    <col min="2" max="2" width="14.5703125" style="6" bestFit="1" customWidth="1"/>
    <col min="3" max="3" width="8" style="6" bestFit="1" customWidth="1"/>
    <col min="4" max="4" width="14" style="6" bestFit="1" customWidth="1"/>
    <col min="5" max="5" width="9" style="6" bestFit="1" customWidth="1"/>
    <col min="6" max="6" width="17.140625" style="2" bestFit="1" customWidth="1"/>
    <col min="7" max="7" width="10" style="6" bestFit="1" customWidth="1"/>
    <col min="8" max="9" width="16.140625" style="2" bestFit="1" customWidth="1"/>
    <col min="10" max="10" width="11" style="6" bestFit="1" customWidth="1"/>
    <col min="11" max="11" width="14" style="6" bestFit="1" customWidth="1"/>
    <col min="12" max="12" width="11" style="6" bestFit="1" customWidth="1"/>
    <col min="13" max="13" width="7" style="6" bestFit="1" customWidth="1"/>
    <col min="14" max="14" width="12" style="6" bestFit="1" customWidth="1"/>
    <col min="15" max="16384" width="9.140625" style="6"/>
  </cols>
  <sheetData>
    <row r="1" spans="1:14" s="5" customFormat="1" ht="12.75" x14ac:dyDescent="0.2">
      <c r="A1" s="5" t="s">
        <v>0</v>
      </c>
      <c r="B1" s="5" t="s">
        <v>44</v>
      </c>
      <c r="C1" s="5" t="s">
        <v>15</v>
      </c>
      <c r="D1" s="5" t="s">
        <v>1</v>
      </c>
      <c r="E1" s="5" t="s">
        <v>2</v>
      </c>
      <c r="F1" s="3" t="s">
        <v>8</v>
      </c>
      <c r="G1" s="5" t="s">
        <v>23</v>
      </c>
      <c r="H1" s="3" t="s">
        <v>31</v>
      </c>
      <c r="I1" s="3" t="s">
        <v>32</v>
      </c>
      <c r="J1" s="5" t="s">
        <v>33</v>
      </c>
      <c r="K1" s="5" t="s">
        <v>34</v>
      </c>
      <c r="L1" s="5" t="s">
        <v>35</v>
      </c>
      <c r="M1" s="5" t="s">
        <v>27</v>
      </c>
      <c r="N1" s="5" t="s">
        <v>18</v>
      </c>
    </row>
    <row r="2" spans="1:14" x14ac:dyDescent="0.2">
      <c r="A2" s="6">
        <v>1</v>
      </c>
      <c r="B2" s="6" t="s">
        <v>10</v>
      </c>
      <c r="C2" s="6">
        <v>6</v>
      </c>
      <c r="D2" s="6" t="s">
        <v>11</v>
      </c>
      <c r="E2" s="6">
        <v>0</v>
      </c>
      <c r="F2" s="2">
        <v>45299</v>
      </c>
      <c r="G2" s="6">
        <v>1</v>
      </c>
      <c r="H2" s="2">
        <v>45299</v>
      </c>
      <c r="I2" s="2">
        <v>45481</v>
      </c>
      <c r="J2" s="6">
        <v>108931</v>
      </c>
      <c r="K2" s="6" t="s">
        <v>36</v>
      </c>
      <c r="L2" s="6">
        <v>250</v>
      </c>
      <c r="M2" s="6" t="s">
        <v>29</v>
      </c>
      <c r="N2" s="6">
        <v>0</v>
      </c>
    </row>
    <row r="3" spans="1:14" ht="12.75" x14ac:dyDescent="0.2">
      <c r="A3" s="6">
        <v>2</v>
      </c>
      <c r="B3" s="6" t="s">
        <v>14</v>
      </c>
      <c r="C3" s="6">
        <v>6</v>
      </c>
      <c r="D3" s="6" t="s">
        <v>11</v>
      </c>
      <c r="E3" s="6">
        <v>0</v>
      </c>
      <c r="F3" s="2">
        <v>45299</v>
      </c>
      <c r="G3" s="6">
        <v>1</v>
      </c>
      <c r="H3" s="2">
        <v>45299</v>
      </c>
      <c r="I3" s="2">
        <v>45481</v>
      </c>
      <c r="J3" s="6">
        <v>108931</v>
      </c>
      <c r="K3" s="6" t="s">
        <v>36</v>
      </c>
      <c r="L3" s="8">
        <v>-250</v>
      </c>
      <c r="M3" s="8" t="s">
        <v>22</v>
      </c>
      <c r="N3" s="8">
        <v>1</v>
      </c>
    </row>
    <row r="4" spans="1:14" x14ac:dyDescent="0.2">
      <c r="A4" s="6">
        <v>5</v>
      </c>
      <c r="B4" s="6" t="s">
        <v>10</v>
      </c>
      <c r="C4" s="6">
        <v>6</v>
      </c>
      <c r="D4" s="6" t="s">
        <v>11</v>
      </c>
      <c r="E4" s="6">
        <v>0</v>
      </c>
      <c r="F4" s="2">
        <v>45299</v>
      </c>
      <c r="G4" s="6">
        <v>2</v>
      </c>
      <c r="H4" s="2">
        <v>45481</v>
      </c>
      <c r="I4" s="2">
        <v>45665</v>
      </c>
      <c r="J4" s="6">
        <v>108932</v>
      </c>
      <c r="K4" s="6" t="s">
        <v>36</v>
      </c>
      <c r="L4" s="6">
        <v>250</v>
      </c>
      <c r="M4" s="6" t="s">
        <v>29</v>
      </c>
      <c r="N4" s="6">
        <v>0</v>
      </c>
    </row>
    <row r="5" spans="1:14" ht="12.75" x14ac:dyDescent="0.2">
      <c r="A5" s="6">
        <v>4</v>
      </c>
      <c r="B5" s="6" t="s">
        <v>14</v>
      </c>
      <c r="C5" s="6">
        <v>6</v>
      </c>
      <c r="D5" s="6" t="s">
        <v>11</v>
      </c>
      <c r="E5" s="6">
        <v>0</v>
      </c>
      <c r="F5" s="2">
        <v>45299</v>
      </c>
      <c r="G5" s="6">
        <v>2</v>
      </c>
      <c r="H5" s="2">
        <v>45481</v>
      </c>
      <c r="I5" s="2">
        <v>45665</v>
      </c>
      <c r="J5" s="6">
        <v>108932</v>
      </c>
      <c r="K5" s="6" t="s">
        <v>36</v>
      </c>
      <c r="L5" s="8">
        <v>-250</v>
      </c>
      <c r="M5" s="8" t="s">
        <v>22</v>
      </c>
      <c r="N5" s="8">
        <v>1</v>
      </c>
    </row>
    <row r="6" spans="1:14" ht="12.75" x14ac:dyDescent="0.2">
      <c r="A6" s="6">
        <v>3</v>
      </c>
      <c r="B6" s="6" t="s">
        <v>14</v>
      </c>
      <c r="C6" s="6">
        <v>6</v>
      </c>
      <c r="D6" s="6" t="s">
        <v>11</v>
      </c>
      <c r="E6" s="6">
        <v>0</v>
      </c>
      <c r="F6" s="2">
        <v>45299</v>
      </c>
      <c r="G6" s="6">
        <v>3</v>
      </c>
      <c r="H6" s="2">
        <v>45299</v>
      </c>
      <c r="I6" s="2">
        <v>45665</v>
      </c>
      <c r="J6" s="6">
        <v>109124</v>
      </c>
      <c r="K6" s="6" t="s">
        <v>36</v>
      </c>
      <c r="L6" s="8">
        <v>500</v>
      </c>
      <c r="M6" s="8" t="s">
        <v>29</v>
      </c>
      <c r="N6" s="8">
        <v>1</v>
      </c>
    </row>
  </sheetData>
  <autoFilter ref="B1:B6" xr:uid="{4116EEB9-198B-4ADF-B9BF-D4A8F49B3F58}"/>
  <sortState xmlns:xlrd2="http://schemas.microsoft.com/office/spreadsheetml/2017/richdata2" ref="A2:N6">
    <sortCondition ref="G2:G6"/>
    <sortCondition ref="M2:M6"/>
    <sortCondition ref="B2:B6"/>
  </sortState>
  <conditionalFormatting sqref="B1:BZ1048576">
    <cfRule type="expression" dxfId="11" priority="1">
      <formula>IF(AND($B1&lt;&gt;"ANTERIOR",$B1&lt;&gt;"POSTERIOR",B1&lt;&gt;""),TRUE,FALSE)</formula>
    </cfRule>
    <cfRule type="expression" dxfId="10" priority="2">
      <formula>IF(AND($B1="ANTERIOR",B1&lt;&gt;""),TRUE,FALSE)</formula>
    </cfRule>
    <cfRule type="expression" dxfId="9" priority="3">
      <formula>IF(AND($B1="POSTERIOR",B1&lt;&gt;""),TRUE,FALSE)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C51D-1E35-4A34-A003-9BCB40D36CC6}">
  <dimension ref="A1:M6"/>
  <sheetViews>
    <sheetView workbookViewId="0">
      <pane ySplit="1" topLeftCell="A2" activePane="bottomLeft" state="frozen"/>
      <selection pane="bottomLeft"/>
    </sheetView>
  </sheetViews>
  <sheetFormatPr baseColWidth="10" defaultColWidth="9.85546875" defaultRowHeight="12" x14ac:dyDescent="0.2"/>
  <cols>
    <col min="1" max="1" width="4" style="6" bestFit="1" customWidth="1"/>
    <col min="2" max="2" width="14.5703125" style="6" bestFit="1" customWidth="1"/>
    <col min="3" max="3" width="8" style="6" bestFit="1" customWidth="1"/>
    <col min="4" max="4" width="14" style="6" bestFit="1" customWidth="1"/>
    <col min="5" max="5" width="9" style="6" bestFit="1" customWidth="1"/>
    <col min="6" max="6" width="10" style="6" bestFit="1" customWidth="1"/>
    <col min="7" max="7" width="11" style="6" bestFit="1" customWidth="1"/>
    <col min="8" max="8" width="14" style="6" bestFit="1" customWidth="1"/>
    <col min="9" max="9" width="8" style="6" bestFit="1" customWidth="1"/>
    <col min="10" max="11" width="15" style="6" bestFit="1" customWidth="1"/>
    <col min="12" max="12" width="14" style="6" bestFit="1" customWidth="1"/>
    <col min="13" max="13" width="7" style="6" bestFit="1" customWidth="1"/>
    <col min="14" max="16384" width="9.85546875" style="6"/>
  </cols>
  <sheetData>
    <row r="1" spans="1:13" s="5" customFormat="1" ht="12.75" x14ac:dyDescent="0.2">
      <c r="A1" s="5" t="s">
        <v>0</v>
      </c>
      <c r="B1" s="5" t="s">
        <v>44</v>
      </c>
      <c r="C1" s="5" t="s">
        <v>15</v>
      </c>
      <c r="D1" s="5" t="s">
        <v>1</v>
      </c>
      <c r="E1" s="5" t="s">
        <v>2</v>
      </c>
      <c r="F1" s="5" t="s">
        <v>23</v>
      </c>
      <c r="G1" s="5" t="s">
        <v>33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27</v>
      </c>
    </row>
    <row r="2" spans="1:13" x14ac:dyDescent="0.2">
      <c r="A2" s="6">
        <v>1</v>
      </c>
      <c r="B2" s="6" t="s">
        <v>10</v>
      </c>
      <c r="C2" s="6">
        <v>6</v>
      </c>
      <c r="D2" s="6" t="s">
        <v>11</v>
      </c>
      <c r="E2" s="6">
        <v>0</v>
      </c>
      <c r="F2" s="6">
        <v>1</v>
      </c>
      <c r="G2" s="6">
        <v>108931</v>
      </c>
      <c r="H2" s="6" t="s">
        <v>42</v>
      </c>
      <c r="I2" s="6">
        <v>1</v>
      </c>
      <c r="J2" s="6">
        <v>25</v>
      </c>
      <c r="K2" s="6">
        <v>0</v>
      </c>
      <c r="L2" s="6">
        <v>0</v>
      </c>
      <c r="M2" s="6" t="s">
        <v>29</v>
      </c>
    </row>
    <row r="3" spans="1:13" ht="12.75" x14ac:dyDescent="0.2">
      <c r="A3" s="6">
        <v>2</v>
      </c>
      <c r="B3" s="6" t="s">
        <v>14</v>
      </c>
      <c r="C3" s="6">
        <v>6</v>
      </c>
      <c r="D3" s="6" t="s">
        <v>11</v>
      </c>
      <c r="E3" s="6">
        <v>0</v>
      </c>
      <c r="F3" s="6">
        <v>1</v>
      </c>
      <c r="G3" s="6">
        <v>108931</v>
      </c>
      <c r="H3" s="6" t="s">
        <v>42</v>
      </c>
      <c r="I3" s="6">
        <v>1</v>
      </c>
      <c r="J3" s="8">
        <v>-25</v>
      </c>
      <c r="K3" s="6">
        <v>0</v>
      </c>
      <c r="L3" s="6">
        <v>0</v>
      </c>
      <c r="M3" s="8" t="s">
        <v>22</v>
      </c>
    </row>
    <row r="4" spans="1:13" x14ac:dyDescent="0.2">
      <c r="A4" s="6">
        <v>3</v>
      </c>
      <c r="B4" s="6" t="s">
        <v>10</v>
      </c>
      <c r="C4" s="6">
        <v>6</v>
      </c>
      <c r="D4" s="6" t="s">
        <v>11</v>
      </c>
      <c r="E4" s="6">
        <v>0</v>
      </c>
      <c r="F4" s="6">
        <v>2</v>
      </c>
      <c r="G4" s="6">
        <v>108932</v>
      </c>
      <c r="H4" s="6" t="s">
        <v>42</v>
      </c>
      <c r="I4" s="6">
        <v>1</v>
      </c>
      <c r="J4" s="6">
        <v>25</v>
      </c>
      <c r="K4" s="6">
        <v>0</v>
      </c>
      <c r="L4" s="6">
        <v>0</v>
      </c>
      <c r="M4" s="6" t="s">
        <v>29</v>
      </c>
    </row>
    <row r="5" spans="1:13" ht="12.75" x14ac:dyDescent="0.2">
      <c r="A5" s="6">
        <v>4</v>
      </c>
      <c r="B5" s="6" t="s">
        <v>14</v>
      </c>
      <c r="C5" s="6">
        <v>6</v>
      </c>
      <c r="D5" s="6" t="s">
        <v>11</v>
      </c>
      <c r="E5" s="6">
        <v>0</v>
      </c>
      <c r="F5" s="6">
        <v>2</v>
      </c>
      <c r="G5" s="6">
        <v>108932</v>
      </c>
      <c r="H5" s="6" t="s">
        <v>42</v>
      </c>
      <c r="I5" s="6">
        <v>1</v>
      </c>
      <c r="J5" s="8">
        <v>-25</v>
      </c>
      <c r="K5" s="6">
        <v>0</v>
      </c>
      <c r="L5" s="6">
        <v>0</v>
      </c>
      <c r="M5" s="8" t="s">
        <v>22</v>
      </c>
    </row>
    <row r="6" spans="1:13" ht="12.75" x14ac:dyDescent="0.2">
      <c r="A6" s="6">
        <v>5</v>
      </c>
      <c r="B6" s="6" t="s">
        <v>14</v>
      </c>
      <c r="C6" s="6">
        <v>6</v>
      </c>
      <c r="D6" s="6" t="s">
        <v>11</v>
      </c>
      <c r="E6" s="6">
        <v>0</v>
      </c>
      <c r="F6" s="6">
        <v>3</v>
      </c>
      <c r="G6" s="6">
        <v>109124</v>
      </c>
      <c r="H6" s="6" t="s">
        <v>42</v>
      </c>
      <c r="I6" s="6">
        <v>1</v>
      </c>
      <c r="J6" s="8">
        <v>50</v>
      </c>
      <c r="K6" s="6">
        <v>0</v>
      </c>
      <c r="L6" s="6">
        <v>0</v>
      </c>
      <c r="M6" s="8" t="s">
        <v>29</v>
      </c>
    </row>
  </sheetData>
  <autoFilter ref="B1:B6" xr:uid="{0E14C51D-1E35-4A34-A003-9BCB40D36CC6}"/>
  <conditionalFormatting sqref="B1:BZ1048576">
    <cfRule type="expression" dxfId="8" priority="1">
      <formula>IF(AND($B1&lt;&gt;"ANTERIOR",$B1&lt;&gt;"POSTERIOR",B1&lt;&gt;""),TRUE,FALSE)</formula>
    </cfRule>
    <cfRule type="expression" dxfId="7" priority="2">
      <formula>IF(AND($B1="ANTERIOR",B1&lt;&gt;""),TRUE,FALSE)</formula>
    </cfRule>
    <cfRule type="expression" dxfId="6" priority="3">
      <formula>IF(AND($B1="POSTERIOR",B1&lt;&gt;""),TRUE,FALSE)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6AF5-2560-4D0E-9781-46C79CA8FC4F}">
  <dimension ref="A1:L1"/>
  <sheetViews>
    <sheetView workbookViewId="0">
      <pane ySplit="1" topLeftCell="A2" activePane="bottomLeft" state="frozen"/>
      <selection pane="bottomLeft"/>
    </sheetView>
  </sheetViews>
  <sheetFormatPr baseColWidth="10" defaultColWidth="9.85546875" defaultRowHeight="12" x14ac:dyDescent="0.2"/>
  <cols>
    <col min="1" max="1" width="4" style="6" bestFit="1" customWidth="1"/>
    <col min="2" max="2" width="14.5703125" style="6" bestFit="1" customWidth="1"/>
    <col min="3" max="3" width="8" style="6" bestFit="1" customWidth="1"/>
    <col min="4" max="4" width="11" style="6" bestFit="1" customWidth="1"/>
    <col min="5" max="5" width="9" style="6" bestFit="1" customWidth="1"/>
    <col min="6" max="6" width="10" style="6" bestFit="1" customWidth="1"/>
    <col min="7" max="7" width="11" style="6" bestFit="1" customWidth="1"/>
    <col min="8" max="8" width="17.140625" style="6" bestFit="1" customWidth="1"/>
    <col min="9" max="9" width="8" style="6" bestFit="1" customWidth="1"/>
    <col min="10" max="11" width="15" style="6" bestFit="1" customWidth="1"/>
    <col min="12" max="13" width="7" style="6" bestFit="1" customWidth="1"/>
    <col min="14" max="16384" width="9.85546875" style="6"/>
  </cols>
  <sheetData>
    <row r="1" spans="1:12" s="5" customFormat="1" ht="12.75" x14ac:dyDescent="0.2">
      <c r="A1" s="5" t="s">
        <v>0</v>
      </c>
      <c r="B1" s="5" t="s">
        <v>44</v>
      </c>
      <c r="C1" s="5" t="s">
        <v>15</v>
      </c>
      <c r="D1" s="5" t="s">
        <v>1</v>
      </c>
      <c r="E1" s="5" t="s">
        <v>2</v>
      </c>
      <c r="F1" s="5" t="s">
        <v>23</v>
      </c>
      <c r="G1" s="5" t="s">
        <v>33</v>
      </c>
      <c r="H1" s="5" t="s">
        <v>43</v>
      </c>
      <c r="I1" s="5" t="s">
        <v>38</v>
      </c>
      <c r="J1" s="5" t="s">
        <v>39</v>
      </c>
      <c r="K1" s="5" t="s">
        <v>40</v>
      </c>
      <c r="L1" s="5" t="s">
        <v>27</v>
      </c>
    </row>
  </sheetData>
  <autoFilter ref="B1" xr:uid="{5D0F6AF5-2560-4D0E-9781-46C79CA8FC4F}"/>
  <conditionalFormatting sqref="B1:BZ1048576">
    <cfRule type="expression" dxfId="5" priority="1">
      <formula>IF(AND($B1&lt;&gt;"ANTERIOR",$B1&lt;&gt;"POSTERIOR",B1&lt;&gt;""),TRUE,FALSE)</formula>
    </cfRule>
    <cfRule type="expression" dxfId="4" priority="2">
      <formula>IF(AND($B1="ANTERIOR",B1&lt;&gt;""),TRUE,FALSE)</formula>
    </cfRule>
    <cfRule type="expression" dxfId="3" priority="3">
      <formula>IF(AND($B1="POSTERIOR",B1&lt;&gt;""),TRUE,FALSE)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3F09-7395-4DC8-9BDC-2F5963C6A427}">
  <dimension ref="A1:M6"/>
  <sheetViews>
    <sheetView workbookViewId="0">
      <pane ySplit="1" topLeftCell="A2" activePane="bottomLeft" state="frozen"/>
      <selection pane="bottomLeft"/>
    </sheetView>
  </sheetViews>
  <sheetFormatPr baseColWidth="10" defaultColWidth="9.85546875" defaultRowHeight="12" x14ac:dyDescent="0.2"/>
  <cols>
    <col min="1" max="1" width="4" style="6" bestFit="1" customWidth="1"/>
    <col min="2" max="2" width="14.5703125" style="6" bestFit="1" customWidth="1"/>
    <col min="3" max="3" width="8" style="6" bestFit="1" customWidth="1"/>
    <col min="4" max="4" width="14" style="6" bestFit="1" customWidth="1"/>
    <col min="5" max="5" width="9" style="6" bestFit="1" customWidth="1"/>
    <col min="6" max="6" width="10" style="6" bestFit="1" customWidth="1"/>
    <col min="7" max="8" width="16.140625" style="2" bestFit="1" customWidth="1"/>
    <col min="9" max="9" width="11" style="6" bestFit="1" customWidth="1"/>
    <col min="10" max="10" width="14" style="6" bestFit="1" customWidth="1"/>
    <col min="11" max="11" width="11" style="6" bestFit="1" customWidth="1"/>
    <col min="12" max="12" width="7" style="6" bestFit="1" customWidth="1"/>
    <col min="13" max="13" width="12" style="6" bestFit="1" customWidth="1"/>
    <col min="14" max="16384" width="9.85546875" style="6"/>
  </cols>
  <sheetData>
    <row r="1" spans="1:13" s="5" customFormat="1" ht="12.75" x14ac:dyDescent="0.2">
      <c r="A1" s="5" t="s">
        <v>0</v>
      </c>
      <c r="B1" s="5" t="s">
        <v>44</v>
      </c>
      <c r="C1" s="5" t="s">
        <v>15</v>
      </c>
      <c r="D1" s="5" t="s">
        <v>1</v>
      </c>
      <c r="E1" s="5" t="s">
        <v>2</v>
      </c>
      <c r="F1" s="5" t="s">
        <v>23</v>
      </c>
      <c r="G1" s="3" t="s">
        <v>31</v>
      </c>
      <c r="H1" s="3" t="s">
        <v>32</v>
      </c>
      <c r="I1" s="5" t="s">
        <v>33</v>
      </c>
      <c r="J1" s="5" t="s">
        <v>34</v>
      </c>
      <c r="K1" s="5" t="s">
        <v>35</v>
      </c>
      <c r="L1" s="5" t="s">
        <v>27</v>
      </c>
      <c r="M1" s="5" t="s">
        <v>18</v>
      </c>
    </row>
    <row r="2" spans="1:13" x14ac:dyDescent="0.2">
      <c r="A2" s="6">
        <v>1</v>
      </c>
      <c r="B2" s="6" t="s">
        <v>10</v>
      </c>
      <c r="C2" s="6">
        <v>6</v>
      </c>
      <c r="D2" s="6" t="s">
        <v>11</v>
      </c>
      <c r="E2" s="6">
        <v>0</v>
      </c>
      <c r="F2" s="6">
        <v>1</v>
      </c>
      <c r="G2" s="2">
        <v>45299</v>
      </c>
      <c r="H2" s="2">
        <v>45481</v>
      </c>
      <c r="I2" s="6">
        <v>108931</v>
      </c>
      <c r="J2" s="6" t="s">
        <v>36</v>
      </c>
      <c r="K2" s="6">
        <v>250</v>
      </c>
      <c r="L2" s="6" t="s">
        <v>29</v>
      </c>
      <c r="M2" s="6">
        <v>0</v>
      </c>
    </row>
    <row r="3" spans="1:13" ht="12.75" x14ac:dyDescent="0.2">
      <c r="A3" s="6">
        <v>2</v>
      </c>
      <c r="B3" s="6" t="s">
        <v>14</v>
      </c>
      <c r="C3" s="6">
        <v>6</v>
      </c>
      <c r="D3" s="6" t="s">
        <v>11</v>
      </c>
      <c r="E3" s="6">
        <v>0</v>
      </c>
      <c r="F3" s="6">
        <v>1</v>
      </c>
      <c r="G3" s="2">
        <v>45299</v>
      </c>
      <c r="H3" s="2">
        <v>45481</v>
      </c>
      <c r="I3" s="6">
        <v>108931</v>
      </c>
      <c r="J3" s="6" t="s">
        <v>36</v>
      </c>
      <c r="K3" s="8">
        <v>-250</v>
      </c>
      <c r="L3" s="8" t="s">
        <v>22</v>
      </c>
      <c r="M3" s="8">
        <v>1</v>
      </c>
    </row>
    <row r="4" spans="1:13" x14ac:dyDescent="0.2">
      <c r="A4" s="6">
        <v>3</v>
      </c>
      <c r="B4" s="6" t="s">
        <v>10</v>
      </c>
      <c r="C4" s="6">
        <v>6</v>
      </c>
      <c r="D4" s="6" t="s">
        <v>11</v>
      </c>
      <c r="E4" s="6">
        <v>0</v>
      </c>
      <c r="F4" s="6">
        <v>2</v>
      </c>
      <c r="G4" s="2">
        <v>45481</v>
      </c>
      <c r="H4" s="2">
        <v>45665</v>
      </c>
      <c r="I4" s="6">
        <v>108932</v>
      </c>
      <c r="J4" s="6" t="s">
        <v>36</v>
      </c>
      <c r="K4" s="6">
        <v>250</v>
      </c>
      <c r="L4" s="6" t="s">
        <v>29</v>
      </c>
      <c r="M4" s="6">
        <v>0</v>
      </c>
    </row>
    <row r="5" spans="1:13" ht="12.75" x14ac:dyDescent="0.2">
      <c r="A5" s="6">
        <v>4</v>
      </c>
      <c r="B5" s="6" t="s">
        <v>14</v>
      </c>
      <c r="C5" s="6">
        <v>6</v>
      </c>
      <c r="D5" s="6" t="s">
        <v>11</v>
      </c>
      <c r="E5" s="6">
        <v>0</v>
      </c>
      <c r="F5" s="6">
        <v>2</v>
      </c>
      <c r="G5" s="2">
        <v>45481</v>
      </c>
      <c r="H5" s="2">
        <v>45665</v>
      </c>
      <c r="I5" s="6">
        <v>108932</v>
      </c>
      <c r="J5" s="6" t="s">
        <v>36</v>
      </c>
      <c r="K5" s="8">
        <v>-250</v>
      </c>
      <c r="L5" s="8" t="s">
        <v>22</v>
      </c>
      <c r="M5" s="8">
        <v>1</v>
      </c>
    </row>
    <row r="6" spans="1:13" ht="12.75" x14ac:dyDescent="0.2">
      <c r="A6" s="6">
        <v>5</v>
      </c>
      <c r="B6" s="6" t="s">
        <v>14</v>
      </c>
      <c r="C6" s="6">
        <v>6</v>
      </c>
      <c r="D6" s="6" t="s">
        <v>11</v>
      </c>
      <c r="E6" s="6">
        <v>0</v>
      </c>
      <c r="F6" s="6">
        <v>3</v>
      </c>
      <c r="G6" s="2">
        <v>45299</v>
      </c>
      <c r="H6" s="2">
        <v>45665</v>
      </c>
      <c r="I6" s="6">
        <v>109124</v>
      </c>
      <c r="J6" s="6" t="s">
        <v>36</v>
      </c>
      <c r="K6" s="8">
        <v>500</v>
      </c>
      <c r="L6" s="8" t="s">
        <v>29</v>
      </c>
      <c r="M6" s="8">
        <v>1</v>
      </c>
    </row>
  </sheetData>
  <autoFilter ref="B1:B6" xr:uid="{50843F09-7395-4DC8-9BDC-2F5963C6A427}"/>
  <conditionalFormatting sqref="B1:BZ1048576">
    <cfRule type="expression" dxfId="2" priority="1">
      <formula>IF(AND($B1&lt;&gt;"ANTERIOR",$B1&lt;&gt;"POSTERIOR",B1&lt;&gt;""),TRUE,FALSE)</formula>
    </cfRule>
    <cfRule type="expression" dxfId="1" priority="2">
      <formula>IF(AND($B1="ANTERIOR",B1&lt;&gt;""),TRUE,FALSE)</formula>
    </cfRule>
    <cfRule type="expression" dxfId="0" priority="3">
      <formula>IF(AND($B1="POSTERIOR",B1&lt;&gt;""),TRUE,FALSE)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A2000030</vt:lpstr>
      <vt:lpstr>A2000033</vt:lpstr>
      <vt:lpstr>A2000032</vt:lpstr>
      <vt:lpstr>A2000161</vt:lpstr>
      <vt:lpstr>A2990700</vt:lpstr>
      <vt:lpstr>A2990701</vt:lpstr>
      <vt:lpstr>A2990702</vt:lpstr>
      <vt:lpstr>A5020301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 Pecero, Antonio</dc:creator>
  <cp:lastModifiedBy>González Pecero, Antonio</cp:lastModifiedBy>
  <dcterms:created xsi:type="dcterms:W3CDTF">2024-01-12T10:49:10Z</dcterms:created>
  <dcterms:modified xsi:type="dcterms:W3CDTF">2024-05-09T10:23:38Z</dcterms:modified>
</cp:coreProperties>
</file>